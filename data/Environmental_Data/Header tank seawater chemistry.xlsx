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2021-June_Mote/data/Environmental_Data/"/>
    </mc:Choice>
  </mc:AlternateContent>
  <xr:revisionPtr revIDLastSave="0" documentId="8_{F6D3AE3F-4208-48A8-B28E-37020090B1D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1" l="1"/>
  <c r="M8" i="1"/>
  <c r="L8" i="1"/>
  <c r="L6" i="1"/>
  <c r="M27" i="1"/>
  <c r="M28" i="1"/>
  <c r="M25" i="1"/>
  <c r="M24" i="1"/>
  <c r="L27" i="1"/>
  <c r="L28" i="1"/>
  <c r="L25" i="1"/>
  <c r="L24" i="1"/>
  <c r="M7" i="1"/>
  <c r="M5" i="1"/>
  <c r="M4" i="1"/>
  <c r="L7" i="1"/>
  <c r="L5" i="1"/>
  <c r="L4" i="1"/>
</calcChain>
</file>

<file path=xl/sharedStrings.xml><?xml version="1.0" encoding="utf-8"?>
<sst xmlns="http://schemas.openxmlformats.org/spreadsheetml/2006/main" count="59" uniqueCount="33">
  <si>
    <t>Date</t>
  </si>
  <si>
    <t>Time</t>
  </si>
  <si>
    <t>Water type</t>
  </si>
  <si>
    <t>Temp (degrees C)</t>
  </si>
  <si>
    <t>DO (percent)</t>
  </si>
  <si>
    <t>DO mg/l</t>
  </si>
  <si>
    <t>Salinity (ppt)</t>
  </si>
  <si>
    <t>pH</t>
  </si>
  <si>
    <t>pH MV</t>
  </si>
  <si>
    <t>Comment</t>
  </si>
  <si>
    <t>SW</t>
  </si>
  <si>
    <t>No data for Exp. 1 - didn't have header tank or collect offshore SW</t>
  </si>
  <si>
    <t>Header</t>
  </si>
  <si>
    <t>-</t>
  </si>
  <si>
    <t>2 SW</t>
  </si>
  <si>
    <t>2 SW + 1 Header</t>
  </si>
  <si>
    <t>1.5 SW</t>
  </si>
  <si>
    <t>1 SW + 1 Header</t>
  </si>
  <si>
    <t>End of Exp. 2 - Past inshore 4 temps</t>
  </si>
  <si>
    <t>Mote Nursery</t>
  </si>
  <si>
    <t>Collection site</t>
  </si>
  <si>
    <t>1 SW</t>
  </si>
  <si>
    <t>End of Exp. 3 - Acer round 1</t>
  </si>
  <si>
    <t>6 SW</t>
  </si>
  <si>
    <t>End of Exp. 4 - Past offshore 4 temps</t>
  </si>
  <si>
    <t>1 SW + 1/2 Header</t>
  </si>
  <si>
    <t>4 SW + 2 Header</t>
  </si>
  <si>
    <t>4 SW</t>
  </si>
  <si>
    <t>Temp:</t>
  </si>
  <si>
    <t>Salinity</t>
  </si>
  <si>
    <t>Mean</t>
  </si>
  <si>
    <t>SD</t>
  </si>
  <si>
    <t>DO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</si>
</sst>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m\-yyyy"/>
  </numFmts>
  <fonts count="4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16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164" fontId="2" fillId="0" borderId="2" xfId="0" applyNumberFormat="1" applyFont="1" applyBorder="1"/>
    <xf numFmtId="20" fontId="2" fillId="0" borderId="2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32"/>
  <sheetViews>
    <sheetView tabSelected="1" workbookViewId="0">
      <selection activeCell="H36" sqref="H36"/>
    </sheetView>
  </sheetViews>
  <sheetFormatPr defaultColWidth="12.5703125" defaultRowHeight="15.75" customHeight="1" x14ac:dyDescent="0.2"/>
  <cols>
    <col min="3" max="4" width="15.5703125" customWidth="1"/>
    <col min="10" max="10" width="50.42578125" customWidth="1"/>
  </cols>
  <sheetData>
    <row r="1" spans="1:13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x14ac:dyDescent="0.2">
      <c r="A2" s="3">
        <v>44355</v>
      </c>
      <c r="B2" s="4">
        <v>0.62013888888888891</v>
      </c>
      <c r="C2" s="5" t="s">
        <v>10</v>
      </c>
      <c r="D2" s="5">
        <v>29</v>
      </c>
      <c r="E2" s="5">
        <v>84.1</v>
      </c>
      <c r="F2" s="5">
        <v>5.12</v>
      </c>
      <c r="G2" s="5">
        <v>37.53</v>
      </c>
      <c r="H2" s="5">
        <v>8.0299999999999994</v>
      </c>
      <c r="I2" s="5">
        <v>75.400000000000006</v>
      </c>
      <c r="J2" s="5" t="s">
        <v>11</v>
      </c>
    </row>
    <row r="3" spans="1:13" x14ac:dyDescent="0.2">
      <c r="A3" s="3">
        <v>44355</v>
      </c>
      <c r="B3" s="4">
        <v>0.62152777777777779</v>
      </c>
      <c r="C3" s="5" t="s">
        <v>12</v>
      </c>
      <c r="D3" s="5">
        <v>29</v>
      </c>
      <c r="E3" s="5">
        <v>82</v>
      </c>
      <c r="F3" s="5">
        <v>5.15</v>
      </c>
      <c r="G3" s="5">
        <v>38.29</v>
      </c>
      <c r="H3" s="5">
        <v>8.0399999999999991</v>
      </c>
      <c r="I3" s="5">
        <v>-75.7</v>
      </c>
      <c r="L3" s="10" t="s">
        <v>30</v>
      </c>
      <c r="M3" s="10" t="s">
        <v>31</v>
      </c>
    </row>
    <row r="4" spans="1:13" x14ac:dyDescent="0.2">
      <c r="A4" s="3">
        <v>44355</v>
      </c>
      <c r="B4" s="4">
        <v>0.6645833333333333</v>
      </c>
      <c r="C4" s="5" t="s">
        <v>13</v>
      </c>
      <c r="D4" s="5">
        <v>29.2</v>
      </c>
      <c r="E4" s="5">
        <v>57.5</v>
      </c>
      <c r="F4" s="5">
        <v>3.34</v>
      </c>
      <c r="G4" s="5">
        <v>38.28</v>
      </c>
      <c r="H4" s="5">
        <v>8.0399999999999991</v>
      </c>
      <c r="I4" s="5">
        <v>-75.8</v>
      </c>
      <c r="K4" s="10" t="s">
        <v>28</v>
      </c>
      <c r="L4">
        <f>AVERAGE(D2:D15)</f>
        <v>28.921428571428571</v>
      </c>
      <c r="M4">
        <f>_xlfn.STDEV.P(D2:D15)</f>
        <v>0.75704177222790003</v>
      </c>
    </row>
    <row r="5" spans="1:13" x14ac:dyDescent="0.2">
      <c r="A5" s="3">
        <v>44355</v>
      </c>
      <c r="B5" s="4">
        <v>0.66874999999999996</v>
      </c>
      <c r="C5" s="5" t="s">
        <v>10</v>
      </c>
      <c r="D5" s="5">
        <v>29.7</v>
      </c>
      <c r="E5" s="5">
        <v>56.4</v>
      </c>
      <c r="F5" s="5">
        <v>3.32</v>
      </c>
      <c r="G5" s="5">
        <v>37.76</v>
      </c>
      <c r="H5" s="5">
        <v>8.0500000000000007</v>
      </c>
      <c r="I5" s="5">
        <v>-76.5</v>
      </c>
      <c r="K5" s="10" t="s">
        <v>5</v>
      </c>
      <c r="L5">
        <f>AVERAGE(F2:F15)</f>
        <v>4.7871428571428565</v>
      </c>
      <c r="M5">
        <f>_xlfn.STDEV.P(F2:F15)</f>
        <v>0.62977806262465774</v>
      </c>
    </row>
    <row r="6" spans="1:13" x14ac:dyDescent="0.2">
      <c r="A6" s="3">
        <v>44355</v>
      </c>
      <c r="B6" s="4">
        <v>0.71388888888888891</v>
      </c>
      <c r="C6" s="5" t="s">
        <v>13</v>
      </c>
      <c r="D6" s="5">
        <v>29.6</v>
      </c>
      <c r="E6" s="5">
        <v>76.900000000000006</v>
      </c>
      <c r="F6" s="5">
        <v>4.59</v>
      </c>
      <c r="G6" s="5">
        <v>38.08</v>
      </c>
      <c r="H6" s="5">
        <v>8.0500000000000007</v>
      </c>
      <c r="I6" s="5">
        <v>-76.8</v>
      </c>
      <c r="K6" s="10" t="s">
        <v>32</v>
      </c>
      <c r="L6">
        <f>AVERAGE(E2:E15)</f>
        <v>78.01428571428572</v>
      </c>
    </row>
    <row r="7" spans="1:13" x14ac:dyDescent="0.2">
      <c r="A7" s="3">
        <v>44355</v>
      </c>
      <c r="B7" s="4">
        <v>0.71388888888888891</v>
      </c>
      <c r="C7" s="5" t="s">
        <v>12</v>
      </c>
      <c r="D7" s="5">
        <v>29.4</v>
      </c>
      <c r="E7" s="5">
        <v>76</v>
      </c>
      <c r="F7" s="5">
        <v>4.6100000000000003</v>
      </c>
      <c r="G7" s="5">
        <v>38.619999999999997</v>
      </c>
      <c r="H7" s="5">
        <v>8.0760000000000005</v>
      </c>
      <c r="I7" s="5">
        <v>-76.900000000000006</v>
      </c>
      <c r="K7" s="10" t="s">
        <v>7</v>
      </c>
      <c r="L7">
        <f>AVERAGE(H2:H15)</f>
        <v>8.0511428571428549</v>
      </c>
      <c r="M7">
        <f>_xlfn.STDEV.P(H2:H15)</f>
        <v>1.2977217084772707E-2</v>
      </c>
    </row>
    <row r="8" spans="1:13" x14ac:dyDescent="0.2">
      <c r="A8" s="3">
        <v>44355</v>
      </c>
      <c r="B8" s="4">
        <v>0.71388888888888891</v>
      </c>
      <c r="C8" s="5" t="s">
        <v>10</v>
      </c>
      <c r="D8" s="5">
        <v>29.6</v>
      </c>
      <c r="E8" s="5">
        <v>79.900000000000006</v>
      </c>
      <c r="F8" s="5">
        <v>4.96</v>
      </c>
      <c r="G8" s="5">
        <v>38.369999999999997</v>
      </c>
      <c r="H8" s="5">
        <v>8.06</v>
      </c>
      <c r="I8" s="5">
        <v>-76.900000000000006</v>
      </c>
      <c r="K8" s="10" t="s">
        <v>29</v>
      </c>
      <c r="L8">
        <f>AVERAGE(G2:G15)</f>
        <v>38.131428571428572</v>
      </c>
      <c r="M8">
        <f>_xlfn.STDEV.P(G2:G15)</f>
        <v>0.2547227384223627</v>
      </c>
    </row>
    <row r="9" spans="1:13" x14ac:dyDescent="0.2">
      <c r="A9" s="3">
        <v>44355</v>
      </c>
      <c r="B9" s="4">
        <v>0.77083333333333337</v>
      </c>
      <c r="C9" s="5" t="s">
        <v>14</v>
      </c>
      <c r="D9" s="5">
        <v>29.6</v>
      </c>
      <c r="E9" s="5">
        <v>82.8</v>
      </c>
      <c r="F9" s="5">
        <v>5.1100000000000003</v>
      </c>
      <c r="G9" s="5">
        <v>38.14</v>
      </c>
      <c r="H9" s="5">
        <v>8.06</v>
      </c>
      <c r="I9" s="5">
        <v>-77</v>
      </c>
    </row>
    <row r="10" spans="1:13" x14ac:dyDescent="0.2">
      <c r="A10" s="3">
        <v>44355</v>
      </c>
      <c r="B10" s="5">
        <v>19.36</v>
      </c>
      <c r="C10" s="5" t="s">
        <v>13</v>
      </c>
      <c r="D10" s="5">
        <v>29.6</v>
      </c>
      <c r="E10" s="5">
        <v>84</v>
      </c>
      <c r="F10" s="5">
        <v>5.07</v>
      </c>
      <c r="G10" s="5">
        <v>38</v>
      </c>
      <c r="H10" s="5">
        <v>8.0500000000000007</v>
      </c>
      <c r="I10" s="5">
        <v>-77.5</v>
      </c>
    </row>
    <row r="11" spans="1:13" x14ac:dyDescent="0.2">
      <c r="A11" s="3">
        <v>44355</v>
      </c>
      <c r="B11" s="4">
        <v>0.91180555555555554</v>
      </c>
      <c r="C11" s="5" t="s">
        <v>15</v>
      </c>
      <c r="D11" s="5">
        <v>28.8</v>
      </c>
      <c r="E11" s="5">
        <v>82</v>
      </c>
      <c r="F11" s="5">
        <v>5.12</v>
      </c>
      <c r="G11" s="5">
        <v>38.229999999999997</v>
      </c>
      <c r="H11" s="5">
        <v>8.06</v>
      </c>
      <c r="I11" s="5">
        <v>-77</v>
      </c>
    </row>
    <row r="12" spans="1:13" x14ac:dyDescent="0.2">
      <c r="A12" s="3">
        <v>44355</v>
      </c>
      <c r="B12" s="4">
        <v>0.9819444444444444</v>
      </c>
      <c r="C12" s="5" t="s">
        <v>16</v>
      </c>
      <c r="D12" s="5">
        <v>28.5</v>
      </c>
      <c r="E12" s="5">
        <v>81.2</v>
      </c>
      <c r="F12" s="5">
        <v>5.0999999999999996</v>
      </c>
      <c r="G12" s="5">
        <v>38.04</v>
      </c>
      <c r="H12" s="5">
        <v>8.0500000000000007</v>
      </c>
      <c r="I12" s="5">
        <v>-76.3</v>
      </c>
    </row>
    <row r="13" spans="1:13" x14ac:dyDescent="0.2">
      <c r="A13" s="3">
        <v>44356</v>
      </c>
      <c r="B13" s="4">
        <v>0.1</v>
      </c>
      <c r="C13" s="5" t="s">
        <v>10</v>
      </c>
      <c r="D13" s="5">
        <v>27.8</v>
      </c>
      <c r="E13" s="5">
        <v>84.7</v>
      </c>
      <c r="F13" s="5">
        <v>5.3</v>
      </c>
      <c r="G13" s="5">
        <v>38.04</v>
      </c>
      <c r="H13" s="5">
        <v>8.0500000000000007</v>
      </c>
      <c r="I13" s="5">
        <v>-76</v>
      </c>
    </row>
    <row r="14" spans="1:13" x14ac:dyDescent="0.2">
      <c r="A14" s="3">
        <v>44356</v>
      </c>
      <c r="B14" s="4">
        <v>0.15486111111111112</v>
      </c>
      <c r="C14" s="5" t="s">
        <v>17</v>
      </c>
      <c r="D14" s="5">
        <v>27.7</v>
      </c>
      <c r="E14" s="5">
        <v>83.7</v>
      </c>
      <c r="F14" s="5">
        <v>5.33</v>
      </c>
      <c r="G14" s="5">
        <v>38.229999999999997</v>
      </c>
      <c r="H14" s="5">
        <v>8.07</v>
      </c>
      <c r="I14" s="5">
        <v>-77.5</v>
      </c>
    </row>
    <row r="15" spans="1:13" x14ac:dyDescent="0.2">
      <c r="A15" s="6">
        <v>44356</v>
      </c>
      <c r="B15" s="7">
        <v>0.26666666666666666</v>
      </c>
      <c r="C15" s="5" t="s">
        <v>15</v>
      </c>
      <c r="D15" s="8">
        <v>27.4</v>
      </c>
      <c r="E15" s="8">
        <v>81</v>
      </c>
      <c r="F15" s="8">
        <v>4.9000000000000004</v>
      </c>
      <c r="G15" s="8">
        <v>38.229999999999997</v>
      </c>
      <c r="H15" s="8">
        <v>8.0299999999999994</v>
      </c>
      <c r="I15" s="8">
        <v>-75.2</v>
      </c>
      <c r="J15" s="8" t="s">
        <v>18</v>
      </c>
    </row>
    <row r="16" spans="1:13" x14ac:dyDescent="0.2">
      <c r="A16" s="3">
        <v>44356</v>
      </c>
      <c r="B16" s="4">
        <v>0.57777777777777772</v>
      </c>
      <c r="C16" s="9" t="s">
        <v>15</v>
      </c>
      <c r="D16" s="5">
        <v>29.5</v>
      </c>
      <c r="E16" s="5">
        <v>80.8</v>
      </c>
      <c r="F16" s="5">
        <v>5.03</v>
      </c>
      <c r="G16" s="5">
        <v>38.01</v>
      </c>
      <c r="H16" s="5">
        <v>8.02</v>
      </c>
      <c r="I16" s="5">
        <v>-74.7</v>
      </c>
    </row>
    <row r="17" spans="1:13" x14ac:dyDescent="0.2">
      <c r="A17" s="3">
        <v>44356</v>
      </c>
      <c r="B17" s="4">
        <v>0.38194444444444442</v>
      </c>
      <c r="C17" s="5" t="s">
        <v>19</v>
      </c>
      <c r="D17" s="5">
        <v>28</v>
      </c>
      <c r="E17" s="5">
        <v>78.599999999999994</v>
      </c>
      <c r="F17" s="5">
        <v>5.01</v>
      </c>
      <c r="G17" s="5">
        <v>36.89</v>
      </c>
      <c r="H17" s="5">
        <v>8.0399999999999991</v>
      </c>
      <c r="I17" s="5">
        <v>-75.5</v>
      </c>
    </row>
    <row r="18" spans="1:13" x14ac:dyDescent="0.2">
      <c r="A18" s="3">
        <v>44356</v>
      </c>
      <c r="B18" s="4">
        <v>0.4236111111111111</v>
      </c>
      <c r="C18" s="5" t="s">
        <v>20</v>
      </c>
      <c r="D18" s="5">
        <v>28.4</v>
      </c>
      <c r="E18" s="5">
        <v>85.3</v>
      </c>
      <c r="F18" s="5">
        <v>5.31</v>
      </c>
      <c r="G18" s="5">
        <v>37</v>
      </c>
      <c r="H18" s="5">
        <v>8.07</v>
      </c>
      <c r="I18" s="5">
        <v>-77.5</v>
      </c>
    </row>
    <row r="19" spans="1:13" x14ac:dyDescent="0.2">
      <c r="A19" s="3">
        <v>44356</v>
      </c>
      <c r="B19" s="4">
        <v>0.6333333333333333</v>
      </c>
      <c r="C19" s="5" t="s">
        <v>15</v>
      </c>
      <c r="D19" s="5">
        <v>29.9</v>
      </c>
      <c r="E19" s="5">
        <v>84.3</v>
      </c>
      <c r="F19" s="5">
        <v>5.19</v>
      </c>
      <c r="G19" s="5">
        <v>37.86</v>
      </c>
      <c r="H19" s="5">
        <v>8.0399999999999991</v>
      </c>
      <c r="I19" s="5">
        <v>-75.900000000000006</v>
      </c>
    </row>
    <row r="20" spans="1:13" x14ac:dyDescent="0.2">
      <c r="A20" s="3">
        <v>44356</v>
      </c>
      <c r="B20" s="4">
        <v>0.93402777777777779</v>
      </c>
      <c r="C20" s="5" t="s">
        <v>15</v>
      </c>
      <c r="D20" s="5">
        <v>28.6</v>
      </c>
      <c r="E20" s="5">
        <v>82.3</v>
      </c>
      <c r="F20" s="5">
        <v>5.2</v>
      </c>
      <c r="G20" s="5">
        <v>37.85</v>
      </c>
      <c r="H20" s="5">
        <v>8.06</v>
      </c>
      <c r="I20" s="5">
        <v>-77.2</v>
      </c>
    </row>
    <row r="21" spans="1:13" x14ac:dyDescent="0.2">
      <c r="A21" s="3">
        <v>44357</v>
      </c>
      <c r="B21" s="4">
        <v>0.14861111111111111</v>
      </c>
      <c r="C21" s="5" t="s">
        <v>15</v>
      </c>
      <c r="D21" s="5">
        <v>27.9</v>
      </c>
      <c r="E21" s="5">
        <v>81</v>
      </c>
      <c r="F21" s="5">
        <v>5.2</v>
      </c>
      <c r="G21" s="5">
        <v>37.9</v>
      </c>
      <c r="H21" s="5">
        <v>8.0299999999999994</v>
      </c>
      <c r="I21" s="5">
        <v>-75.099999999999994</v>
      </c>
    </row>
    <row r="22" spans="1:13" x14ac:dyDescent="0.2">
      <c r="A22" s="6">
        <v>44357</v>
      </c>
      <c r="B22" s="7">
        <v>0.27361111111111114</v>
      </c>
      <c r="C22" s="8" t="s">
        <v>21</v>
      </c>
      <c r="D22" s="8">
        <v>27.5</v>
      </c>
      <c r="E22" s="8">
        <v>84.6</v>
      </c>
      <c r="F22" s="8">
        <v>5.42</v>
      </c>
      <c r="G22" s="8">
        <v>37.57</v>
      </c>
      <c r="H22" s="8">
        <v>8.0500000000000007</v>
      </c>
      <c r="I22" s="8">
        <v>-76</v>
      </c>
      <c r="J22" s="8" t="s">
        <v>22</v>
      </c>
    </row>
    <row r="23" spans="1:13" x14ac:dyDescent="0.2">
      <c r="A23" s="3">
        <v>44357</v>
      </c>
      <c r="B23" s="4">
        <v>0.58333333333333337</v>
      </c>
      <c r="C23" s="5" t="s">
        <v>15</v>
      </c>
      <c r="D23" s="5">
        <v>29.9</v>
      </c>
      <c r="E23" s="5">
        <v>82.2</v>
      </c>
      <c r="F23" s="5">
        <v>5.07</v>
      </c>
      <c r="G23" s="5">
        <v>37.909999999999997</v>
      </c>
      <c r="H23" s="5">
        <v>8.0399999999999991</v>
      </c>
      <c r="I23" s="5">
        <v>-76.099999999999994</v>
      </c>
      <c r="L23" s="10" t="s">
        <v>30</v>
      </c>
      <c r="M23" s="10" t="s">
        <v>31</v>
      </c>
    </row>
    <row r="24" spans="1:13" x14ac:dyDescent="0.2">
      <c r="A24" s="3">
        <v>44357</v>
      </c>
      <c r="B24" s="4">
        <v>0.625</v>
      </c>
      <c r="C24" s="5" t="s">
        <v>21</v>
      </c>
      <c r="D24" s="5">
        <v>30</v>
      </c>
      <c r="E24" s="5">
        <v>82.3</v>
      </c>
      <c r="F24" s="5">
        <v>5.2</v>
      </c>
      <c r="G24" s="5">
        <v>37.82</v>
      </c>
      <c r="H24" s="5">
        <v>8.0299999999999994</v>
      </c>
      <c r="I24" s="5">
        <v>-75.599999999999994</v>
      </c>
      <c r="K24" s="10" t="s">
        <v>28</v>
      </c>
      <c r="L24">
        <f>AVERAGE(D23:D27)</f>
        <v>29.2</v>
      </c>
      <c r="M24">
        <f>_xlfn.STDEV.P(D23:D27)</f>
        <v>0.83186537372341685</v>
      </c>
    </row>
    <row r="25" spans="1:13" x14ac:dyDescent="0.2">
      <c r="A25" s="3">
        <v>44357</v>
      </c>
      <c r="B25" s="4">
        <v>0.84791666666666665</v>
      </c>
      <c r="C25" s="5" t="s">
        <v>14</v>
      </c>
      <c r="D25" s="5">
        <v>29.7</v>
      </c>
      <c r="E25" s="5">
        <v>79.8</v>
      </c>
      <c r="F25" s="5">
        <v>4.84</v>
      </c>
      <c r="G25" s="5">
        <v>37.61</v>
      </c>
      <c r="H25" s="5">
        <v>8</v>
      </c>
      <c r="I25" s="5">
        <v>-73.900000000000006</v>
      </c>
      <c r="K25" s="10" t="s">
        <v>5</v>
      </c>
      <c r="L25">
        <f>AVERAGE(F23:F27)</f>
        <v>5.1239999999999997</v>
      </c>
      <c r="M25">
        <f>_xlfn.STDEV.P(F23:F27)</f>
        <v>0.17602272580550501</v>
      </c>
    </row>
    <row r="26" spans="1:13" x14ac:dyDescent="0.2">
      <c r="A26" s="3">
        <v>44358</v>
      </c>
      <c r="B26" s="4">
        <v>0.13333333333333333</v>
      </c>
      <c r="C26" s="5" t="s">
        <v>23</v>
      </c>
      <c r="D26" s="5">
        <v>28.4</v>
      </c>
      <c r="E26" s="5">
        <v>85.2</v>
      </c>
      <c r="F26" s="5">
        <v>5.38</v>
      </c>
      <c r="G26" s="5">
        <v>37.299999999999997</v>
      </c>
      <c r="H26" s="5">
        <v>8.0500000000000007</v>
      </c>
      <c r="I26" s="5">
        <v>-76.5</v>
      </c>
      <c r="K26" s="10" t="s">
        <v>32</v>
      </c>
      <c r="L26">
        <f>AVERAGE(E23:E27)</f>
        <v>82.14</v>
      </c>
    </row>
    <row r="27" spans="1:13" x14ac:dyDescent="0.2">
      <c r="A27" s="6">
        <v>44358</v>
      </c>
      <c r="B27" s="7">
        <v>0.28125</v>
      </c>
      <c r="C27" s="8" t="s">
        <v>17</v>
      </c>
      <c r="D27" s="8">
        <v>28</v>
      </c>
      <c r="E27" s="8">
        <v>81.2</v>
      </c>
      <c r="F27" s="8">
        <v>5.13</v>
      </c>
      <c r="G27" s="8">
        <v>38</v>
      </c>
      <c r="H27" s="8">
        <v>8.0299999999999994</v>
      </c>
      <c r="I27" s="8">
        <v>-75.7</v>
      </c>
      <c r="J27" s="8" t="s">
        <v>24</v>
      </c>
      <c r="K27" s="10" t="s">
        <v>7</v>
      </c>
      <c r="L27">
        <f>AVERAGE(H23:H27)</f>
        <v>8.0300000000000011</v>
      </c>
      <c r="M27">
        <f>_xlfn.STDEV.P(H23:H27)</f>
        <v>1.6733200530681579E-2</v>
      </c>
    </row>
    <row r="28" spans="1:13" x14ac:dyDescent="0.2">
      <c r="A28" s="3">
        <v>44358</v>
      </c>
      <c r="B28" s="4">
        <v>0.38680555555555557</v>
      </c>
      <c r="C28" s="5" t="s">
        <v>25</v>
      </c>
      <c r="D28" s="5">
        <v>28</v>
      </c>
      <c r="E28" s="5">
        <v>84.5</v>
      </c>
      <c r="F28" s="5">
        <v>5.3</v>
      </c>
      <c r="G28" s="5">
        <v>38.049999999999997</v>
      </c>
      <c r="H28" s="5">
        <v>8.08</v>
      </c>
      <c r="I28" s="5">
        <v>-77.7</v>
      </c>
      <c r="K28" s="10" t="s">
        <v>29</v>
      </c>
      <c r="L28">
        <f>AVERAGE(G23:G27)</f>
        <v>37.727999999999994</v>
      </c>
      <c r="M28">
        <f>_xlfn.STDEV.P(G23:G27)</f>
        <v>0.25007198963498545</v>
      </c>
    </row>
    <row r="29" spans="1:13" x14ac:dyDescent="0.2">
      <c r="A29" s="3">
        <v>44358</v>
      </c>
      <c r="B29" s="4">
        <v>0.6020833333333333</v>
      </c>
      <c r="C29" s="5" t="s">
        <v>26</v>
      </c>
      <c r="D29" s="5">
        <v>29.7</v>
      </c>
      <c r="E29" s="5">
        <v>83</v>
      </c>
      <c r="F29" s="5">
        <v>5.0999999999999996</v>
      </c>
      <c r="G29" s="5">
        <v>38.78</v>
      </c>
      <c r="H29" s="5">
        <v>8.0399999999999991</v>
      </c>
      <c r="I29" s="5">
        <v>-76</v>
      </c>
    </row>
    <row r="30" spans="1:13" x14ac:dyDescent="0.2">
      <c r="A30" s="3">
        <v>44358</v>
      </c>
      <c r="B30" s="4">
        <v>0.74097222222222225</v>
      </c>
      <c r="C30" s="5" t="s">
        <v>13</v>
      </c>
      <c r="D30" s="5">
        <v>29.7</v>
      </c>
      <c r="E30" s="5">
        <v>82.8</v>
      </c>
      <c r="F30" s="5">
        <v>5.07</v>
      </c>
      <c r="G30" s="5">
        <v>38.53</v>
      </c>
      <c r="H30" s="5">
        <v>8.02</v>
      </c>
      <c r="I30" s="5">
        <v>-74.599999999999994</v>
      </c>
    </row>
    <row r="31" spans="1:13" x14ac:dyDescent="0.2">
      <c r="A31" s="3">
        <v>44358</v>
      </c>
      <c r="B31" s="4">
        <v>0.74097222222222225</v>
      </c>
      <c r="C31" s="5" t="s">
        <v>17</v>
      </c>
      <c r="D31" s="5">
        <v>29.9</v>
      </c>
      <c r="E31" s="5">
        <v>87</v>
      </c>
      <c r="F31" s="5">
        <v>5.03</v>
      </c>
      <c r="G31" s="5">
        <v>38.590000000000003</v>
      </c>
      <c r="H31" s="5">
        <v>8.0299999999999994</v>
      </c>
      <c r="I31" s="5">
        <v>-75.5</v>
      </c>
    </row>
    <row r="32" spans="1:13" x14ac:dyDescent="0.2">
      <c r="A32" s="3">
        <v>44358</v>
      </c>
      <c r="B32" s="4">
        <v>0.91111111111111109</v>
      </c>
      <c r="C32" s="5" t="s">
        <v>27</v>
      </c>
      <c r="D32" s="5">
        <v>29.1</v>
      </c>
      <c r="E32" s="5">
        <v>83.8</v>
      </c>
      <c r="F32" s="5">
        <v>5.2</v>
      </c>
      <c r="G32" s="5">
        <v>37.96</v>
      </c>
      <c r="H32" s="5">
        <v>8.0399999999999991</v>
      </c>
      <c r="I32" s="5">
        <v>-75.7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Parker</dc:creator>
  <cp:lastModifiedBy>Kate Parker</cp:lastModifiedBy>
  <dcterms:created xsi:type="dcterms:W3CDTF">2025-10-16T15:20:51Z</dcterms:created>
  <dcterms:modified xsi:type="dcterms:W3CDTF">2025-10-16T15:21:03Z</dcterms:modified>
</cp:coreProperties>
</file>